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RISTIAN\Documents\"/>
    </mc:Choice>
  </mc:AlternateContent>
  <xr:revisionPtr revIDLastSave="0" documentId="13_ncr:1_{4B340BB9-8D56-4FB0-B60A-44C55D4CCB0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8" r:id="rId1"/>
    <sheet name="Sheet2" sheetId="9" r:id="rId2"/>
    <sheet name="Employee Sales" sheetId="1" r:id="rId3"/>
  </sheets>
  <definedNames>
    <definedName name="_xlnm._FilterDatabase" localSheetId="2" hidden="1">'Employee Sales'!$A$3:$G$18</definedName>
    <definedName name="TOTTO">'Employee Sales'!$G$4:$G$18</definedName>
  </definedNames>
  <calcPr calcId="191029"/>
</workbook>
</file>

<file path=xl/calcChain.xml><?xml version="1.0" encoding="utf-8"?>
<calcChain xmlns="http://schemas.openxmlformats.org/spreadsheetml/2006/main">
  <c r="E21" i="1" l="1"/>
  <c r="G14" i="1"/>
  <c r="G12" i="1"/>
  <c r="G13" i="1"/>
  <c r="O6" i="1" s="1"/>
  <c r="G15" i="1"/>
  <c r="O5" i="1" s="1"/>
  <c r="F21" i="1"/>
  <c r="G8" i="1"/>
  <c r="G17" i="1"/>
  <c r="O13" i="1" s="1"/>
  <c r="G10" i="1"/>
  <c r="G6" i="1"/>
  <c r="G16" i="1"/>
  <c r="G4" i="1"/>
  <c r="G9" i="1"/>
  <c r="G18" i="1"/>
  <c r="O11" i="1" s="1"/>
  <c r="G5" i="1"/>
  <c r="G11" i="1"/>
  <c r="G7" i="1"/>
  <c r="S6" i="1" l="1"/>
  <c r="O7" i="1"/>
  <c r="S5" i="1"/>
  <c r="S7" i="1"/>
  <c r="O12" i="1"/>
  <c r="Q24" i="1"/>
  <c r="Q22" i="1"/>
  <c r="Q25" i="1"/>
  <c r="Q23" i="1"/>
  <c r="G21" i="1"/>
</calcChain>
</file>

<file path=xl/sharedStrings.xml><?xml version="1.0" encoding="utf-8"?>
<sst xmlns="http://schemas.openxmlformats.org/spreadsheetml/2006/main" count="103" uniqueCount="47">
  <si>
    <t>Employee Sales — SUMIF &amp; SUMIFS practice</t>
  </si>
  <si>
    <t>You will sum Total Revenue based on conditions like Department, Month, or both combined.</t>
  </si>
  <si>
    <t>Employee ID</t>
  </si>
  <si>
    <t>Full Name</t>
  </si>
  <si>
    <t>Department</t>
  </si>
  <si>
    <t>Month</t>
  </si>
  <si>
    <t>Units Sold</t>
  </si>
  <si>
    <t>Unit Price ($)</t>
  </si>
  <si>
    <t>Total Revenue ($)</t>
  </si>
  <si>
    <t>E001</t>
  </si>
  <si>
    <t>Alice Martin</t>
  </si>
  <si>
    <t>Sales</t>
  </si>
  <si>
    <t>January</t>
  </si>
  <si>
    <t>E002</t>
  </si>
  <si>
    <t>Bob Nguyen</t>
  </si>
  <si>
    <t>E003</t>
  </si>
  <si>
    <t>Clara Smith</t>
  </si>
  <si>
    <t>Marketing</t>
  </si>
  <si>
    <t>E004</t>
  </si>
  <si>
    <t>David Osei</t>
  </si>
  <si>
    <t>February</t>
  </si>
  <si>
    <t>E005</t>
  </si>
  <si>
    <t>Emma Lopez</t>
  </si>
  <si>
    <t>Support</t>
  </si>
  <si>
    <t>E006</t>
  </si>
  <si>
    <t>Georges Dupont</t>
  </si>
  <si>
    <t>E007</t>
  </si>
  <si>
    <t>Hannah Müller</t>
  </si>
  <si>
    <t>March</t>
  </si>
  <si>
    <t>E008</t>
  </si>
  <si>
    <t>Ibrahim Diallo</t>
  </si>
  <si>
    <t>E009</t>
  </si>
  <si>
    <t>Julia Costa</t>
  </si>
  <si>
    <t>E010</t>
  </si>
  <si>
    <t>Kevin Tanaka</t>
  </si>
  <si>
    <t>E011</t>
  </si>
  <si>
    <t>Laura Bello</t>
  </si>
  <si>
    <t>April</t>
  </si>
  <si>
    <t>E012</t>
  </si>
  <si>
    <t>Marc Kamga</t>
  </si>
  <si>
    <t>E013</t>
  </si>
  <si>
    <t>Nadia Petrov</t>
  </si>
  <si>
    <t>E014</t>
  </si>
  <si>
    <t>Omar Khalil</t>
  </si>
  <si>
    <t>E015</t>
  </si>
  <si>
    <t>Priya Sharma</t>
  </si>
  <si>
    <t>Colour key:  Blue = Sales department    Green = Marketing department    Yellow = Support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</si>
</sst>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F5F5F5"/>
        <bgColor rgb="FFF5F5F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" fontId="4" fillId="3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2" fillId="7" borderId="0" xfId="0" applyFont="1" applyFill="1" applyAlignment="1">
      <alignment horizontal="left" vertical="center"/>
    </xf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0" fillId="0" borderId="2" xfId="0" applyBorder="1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'Employee Sales'!$C$22</c:f>
              <c:strCache>
                <c:ptCount val="1"/>
                <c:pt idx="0">
                  <c:v>Total Revenue ($)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'Employee Sales'!$B$23:$B$37</c:f>
              <c:strCache>
                <c:ptCount val="15"/>
                <c:pt idx="0">
                  <c:v>Ibrahim Diallo</c:v>
                </c:pt>
                <c:pt idx="1">
                  <c:v>David Osei</c:v>
                </c:pt>
                <c:pt idx="2">
                  <c:v>Kevin Tanaka</c:v>
                </c:pt>
                <c:pt idx="3">
                  <c:v>Alice Martin</c:v>
                </c:pt>
                <c:pt idx="4">
                  <c:v>Omar Khalil</c:v>
                </c:pt>
                <c:pt idx="5">
                  <c:v>Georges Dupont</c:v>
                </c:pt>
                <c:pt idx="6">
                  <c:v>Marc Kamga</c:v>
                </c:pt>
                <c:pt idx="7">
                  <c:v>Bob Nguyen</c:v>
                </c:pt>
                <c:pt idx="8">
                  <c:v>Priya Sharma</c:v>
                </c:pt>
                <c:pt idx="9">
                  <c:v>Hannah Müller</c:v>
                </c:pt>
                <c:pt idx="10">
                  <c:v>Laura Bello</c:v>
                </c:pt>
                <c:pt idx="11">
                  <c:v>Clara Smith</c:v>
                </c:pt>
                <c:pt idx="12">
                  <c:v>Julia Costa</c:v>
                </c:pt>
                <c:pt idx="13">
                  <c:v>Nadia Petrov</c:v>
                </c:pt>
                <c:pt idx="14">
                  <c:v>Emma Lopez</c:v>
                </c:pt>
              </c:strCache>
            </c:strRef>
          </c:cat>
          <c:val>
            <c:numRef>
              <c:f>'Employee Sales'!$C$23:$C$37</c:f>
              <c:numCache>
                <c:formatCode>#,##0.00</c:formatCode>
                <c:ptCount val="15"/>
                <c:pt idx="0">
                  <c:v>7200</c:v>
                </c:pt>
                <c:pt idx="1">
                  <c:v>6300</c:v>
                </c:pt>
                <c:pt idx="2">
                  <c:v>5850</c:v>
                </c:pt>
                <c:pt idx="3">
                  <c:v>5400</c:v>
                </c:pt>
                <c:pt idx="4">
                  <c:v>5175</c:v>
                </c:pt>
                <c:pt idx="5">
                  <c:v>4950</c:v>
                </c:pt>
                <c:pt idx="6">
                  <c:v>4725</c:v>
                </c:pt>
                <c:pt idx="7">
                  <c:v>4275</c:v>
                </c:pt>
                <c:pt idx="8">
                  <c:v>7065</c:v>
                </c:pt>
                <c:pt idx="9">
                  <c:v>6672.5</c:v>
                </c:pt>
                <c:pt idx="10">
                  <c:v>5495</c:v>
                </c:pt>
                <c:pt idx="11">
                  <c:v>4710</c:v>
                </c:pt>
                <c:pt idx="12">
                  <c:v>6000</c:v>
                </c:pt>
                <c:pt idx="13">
                  <c:v>5400</c:v>
                </c:pt>
                <c:pt idx="14">
                  <c:v>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1C-48DD-A91D-C43B82F3A7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9953679"/>
        <c:axId val="632039823"/>
      </c:lineChart>
      <c:catAx>
        <c:axId val="83995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2039823"/>
        <c:crosses val="autoZero"/>
        <c:auto val="1"/>
        <c:lblAlgn val="ctr"/>
        <c:lblOffset val="100"/>
        <c:noMultiLvlLbl val="0"/>
      </c:catAx>
      <c:valAx>
        <c:axId val="63203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95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941552</xdr:colOff>
      <xdr:row>25</xdr:row>
      <xdr:rowOff>261883</xdr:rowOff>
    </xdr:from>
    <xdr:to>
      <xdr:col>12</xdr:col>
      <xdr:colOff>249621</xdr:colOff>
      <xdr:row>40</xdr:row>
      <xdr:rowOff>88462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AC8DC-DE84-7BD5-1E5B-16C16A47F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D9D6-DC54-44AF-92B1-741FFABF520B}">
  <dimension ref="A1"/>
  <sheetViews>
    <sheetView workbookViewId="0">
      <selection activeCell="A3" sqref="A3:B7"/>
    </sheetView>
  </sheetViews>
  <sheetFormatPr defaultRowHeight="14.4" x14ac:dyDescent="0.3"/>
  <cols>
    <col min="1" max="1" width="12.5546875" bestFit="1" customWidth="1"/>
    <col min="2" max="2" width="26.21875" customWidth="1"/>
    <col min="3" max="3" width="19.5546875" bestFit="1" customWidth="1"/>
    <col min="4" max="4" width="7.77734375" bestFit="1" customWidth="1"/>
    <col min="5" max="5" width="10.77734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28A7-559B-4608-8B51-5A246860AC88}">
  <dimension ref="A1"/>
  <sheetViews>
    <sheetView workbookViewId="0">
      <selection activeCell="F20" sqref="F20"/>
    </sheetView>
  </sheetViews>
  <sheetFormatPr defaultRowHeight="14.4" x14ac:dyDescent="0.3"/>
  <cols>
    <col min="1" max="1" width="12.5546875" bestFit="1" customWidth="1"/>
    <col min="2" max="2" width="22.5546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zoomScale="87" zoomScaleNormal="87" workbookViewId="0">
      <selection activeCell="J24" sqref="J24"/>
    </sheetView>
  </sheetViews>
  <sheetFormatPr defaultRowHeight="14.4" x14ac:dyDescent="0.3"/>
  <cols>
    <col min="1" max="1" width="14" customWidth="1"/>
    <col min="2" max="2" width="18" customWidth="1"/>
    <col min="3" max="3" width="15" customWidth="1"/>
    <col min="4" max="4" width="12" customWidth="1"/>
    <col min="5" max="5" width="13" customWidth="1"/>
    <col min="6" max="6" width="14" customWidth="1"/>
    <col min="7" max="7" width="18" customWidth="1"/>
    <col min="13" max="13" width="9.6640625" customWidth="1"/>
  </cols>
  <sheetData>
    <row r="1" spans="1:19" ht="34.049999999999997" customHeight="1" x14ac:dyDescent="0.3">
      <c r="A1" s="20" t="s">
        <v>0</v>
      </c>
      <c r="B1" s="17"/>
      <c r="C1" s="17"/>
      <c r="D1" s="17"/>
      <c r="E1" s="17"/>
      <c r="F1" s="17"/>
      <c r="G1" s="17"/>
    </row>
    <row r="2" spans="1:19" ht="22.05" customHeight="1" x14ac:dyDescent="0.3">
      <c r="A2" s="18" t="s">
        <v>1</v>
      </c>
      <c r="B2" s="19"/>
      <c r="C2" s="19"/>
      <c r="D2" s="19"/>
      <c r="E2" s="19"/>
      <c r="F2" s="19"/>
      <c r="G2" s="19"/>
    </row>
    <row r="3" spans="1:19" ht="25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19" ht="22.05" customHeight="1" x14ac:dyDescent="0.3">
      <c r="A4" s="2" t="s">
        <v>29</v>
      </c>
      <c r="B4" s="3" t="s">
        <v>30</v>
      </c>
      <c r="C4" s="2" t="s">
        <v>11</v>
      </c>
      <c r="D4" s="2" t="s">
        <v>28</v>
      </c>
      <c r="E4" s="2">
        <v>160</v>
      </c>
      <c r="F4" s="4">
        <v>45</v>
      </c>
      <c r="G4" s="4">
        <f t="shared" ref="G4:G18" si="0">F4*E4</f>
        <v>7200</v>
      </c>
    </row>
    <row r="5" spans="1:19" ht="22.05" customHeight="1" x14ac:dyDescent="0.3">
      <c r="A5" s="2" t="s">
        <v>18</v>
      </c>
      <c r="B5" s="3" t="s">
        <v>19</v>
      </c>
      <c r="C5" s="2" t="s">
        <v>11</v>
      </c>
      <c r="D5" s="2" t="s">
        <v>20</v>
      </c>
      <c r="E5" s="2">
        <v>140</v>
      </c>
      <c r="F5" s="4">
        <v>45</v>
      </c>
      <c r="G5" s="4">
        <f t="shared" si="0"/>
        <v>6300</v>
      </c>
      <c r="M5" s="21" t="s">
        <v>17</v>
      </c>
      <c r="N5" t="s">
        <v>12</v>
      </c>
      <c r="O5">
        <f>SUMIFS(TOTTO,C4:C18,"Marketing",D4:D18,"January")</f>
        <v>4710</v>
      </c>
      <c r="R5" t="s">
        <v>17</v>
      </c>
      <c r="S5">
        <f>_xlfn.MAXIFS(TOTTO,C4:C18,"Marketing") - _xlfn.MINIFS(TOTTO,C4:C18,"Marketing")</f>
        <v>2355</v>
      </c>
    </row>
    <row r="6" spans="1:19" ht="22.05" customHeight="1" x14ac:dyDescent="0.3">
      <c r="A6" s="2" t="s">
        <v>33</v>
      </c>
      <c r="B6" s="3" t="s">
        <v>34</v>
      </c>
      <c r="C6" s="2" t="s">
        <v>11</v>
      </c>
      <c r="D6" s="2" t="s">
        <v>28</v>
      </c>
      <c r="E6" s="2">
        <v>130</v>
      </c>
      <c r="F6" s="4">
        <v>45</v>
      </c>
      <c r="G6" s="4">
        <f t="shared" si="0"/>
        <v>5850</v>
      </c>
      <c r="M6" s="21"/>
      <c r="N6" t="s">
        <v>28</v>
      </c>
      <c r="O6">
        <f>SUMIFS(TOTTO,C4:C18,"Marketing",D4:D18,"March")</f>
        <v>6672.5</v>
      </c>
      <c r="R6" t="s">
        <v>11</v>
      </c>
      <c r="S6">
        <f>_xlfn.MAXIFS(TOTTO,C4:C18,"Sales") - _xlfn.MINIFS(TOTTO,C4:C18,"Sales")</f>
        <v>2925</v>
      </c>
    </row>
    <row r="7" spans="1:19" ht="22.05" customHeight="1" x14ac:dyDescent="0.3">
      <c r="A7" s="2" t="s">
        <v>9</v>
      </c>
      <c r="B7" s="3" t="s">
        <v>10</v>
      </c>
      <c r="C7" s="2" t="s">
        <v>11</v>
      </c>
      <c r="D7" s="2" t="s">
        <v>12</v>
      </c>
      <c r="E7" s="2">
        <v>120</v>
      </c>
      <c r="F7" s="4">
        <v>45</v>
      </c>
      <c r="G7" s="4">
        <f t="shared" si="0"/>
        <v>5400</v>
      </c>
      <c r="M7" s="21"/>
      <c r="N7" t="s">
        <v>37</v>
      </c>
      <c r="O7">
        <f>SUMIFS(TOTTO,C4:C18,"Marketing",D4:D18,"April")</f>
        <v>12560</v>
      </c>
      <c r="R7" t="s">
        <v>23</v>
      </c>
      <c r="S7">
        <f>_xlfn.MAXIFS(TOTTO,C4:C18,"Support") - _xlfn.MINIFS(TOTTO,C4:C18,"Support")</f>
        <v>2400</v>
      </c>
    </row>
    <row r="8" spans="1:19" ht="22.05" customHeight="1" x14ac:dyDescent="0.3">
      <c r="A8" s="2" t="s">
        <v>42</v>
      </c>
      <c r="B8" s="3" t="s">
        <v>43</v>
      </c>
      <c r="C8" s="2" t="s">
        <v>11</v>
      </c>
      <c r="D8" s="2" t="s">
        <v>37</v>
      </c>
      <c r="E8" s="2">
        <v>115</v>
      </c>
      <c r="F8" s="4">
        <v>45</v>
      </c>
      <c r="G8" s="4">
        <f t="shared" si="0"/>
        <v>5175</v>
      </c>
      <c r="M8" s="12"/>
    </row>
    <row r="9" spans="1:19" ht="22.05" customHeight="1" x14ac:dyDescent="0.3">
      <c r="A9" s="2" t="s">
        <v>24</v>
      </c>
      <c r="B9" s="3" t="s">
        <v>25</v>
      </c>
      <c r="C9" s="2" t="s">
        <v>11</v>
      </c>
      <c r="D9" s="2" t="s">
        <v>20</v>
      </c>
      <c r="E9" s="2">
        <v>110</v>
      </c>
      <c r="F9" s="4">
        <v>45</v>
      </c>
      <c r="G9" s="4">
        <f t="shared" si="0"/>
        <v>4950</v>
      </c>
      <c r="M9" s="12"/>
    </row>
    <row r="10" spans="1:19" ht="22.05" customHeight="1" x14ac:dyDescent="0.3">
      <c r="A10" s="2" t="s">
        <v>38</v>
      </c>
      <c r="B10" s="3" t="s">
        <v>39</v>
      </c>
      <c r="C10" s="2" t="s">
        <v>11</v>
      </c>
      <c r="D10" s="2" t="s">
        <v>37</v>
      </c>
      <c r="E10" s="2">
        <v>105</v>
      </c>
      <c r="F10" s="4">
        <v>45</v>
      </c>
      <c r="G10" s="4">
        <f t="shared" si="0"/>
        <v>4725</v>
      </c>
      <c r="M10" s="12"/>
    </row>
    <row r="11" spans="1:19" ht="22.05" customHeight="1" x14ac:dyDescent="0.3">
      <c r="A11" s="2" t="s">
        <v>13</v>
      </c>
      <c r="B11" s="3" t="s">
        <v>14</v>
      </c>
      <c r="C11" s="2" t="s">
        <v>11</v>
      </c>
      <c r="D11" s="2" t="s">
        <v>12</v>
      </c>
      <c r="E11" s="2">
        <v>95</v>
      </c>
      <c r="F11" s="4">
        <v>45</v>
      </c>
      <c r="G11" s="4">
        <f t="shared" si="0"/>
        <v>4275</v>
      </c>
      <c r="M11" s="21" t="s">
        <v>23</v>
      </c>
      <c r="N11" t="s">
        <v>20</v>
      </c>
      <c r="O11">
        <f>SUMIFS(TOTTO,C4:C18,"Support",D4:D18,"February")</f>
        <v>3600</v>
      </c>
    </row>
    <row r="12" spans="1:19" ht="22.05" customHeight="1" x14ac:dyDescent="0.3">
      <c r="A12" s="5" t="s">
        <v>44</v>
      </c>
      <c r="B12" s="6" t="s">
        <v>45</v>
      </c>
      <c r="C12" s="5" t="s">
        <v>17</v>
      </c>
      <c r="D12" s="5" t="s">
        <v>37</v>
      </c>
      <c r="E12" s="5">
        <v>90</v>
      </c>
      <c r="F12" s="7">
        <v>78.5</v>
      </c>
      <c r="G12" s="7">
        <f t="shared" si="0"/>
        <v>7065</v>
      </c>
      <c r="M12" s="21"/>
      <c r="N12" t="s">
        <v>28</v>
      </c>
      <c r="O12">
        <f>SUMIFS(TOTTO,C4:C18,"Support",D4:D18,"March")</f>
        <v>6000</v>
      </c>
    </row>
    <row r="13" spans="1:19" ht="22.05" customHeight="1" x14ac:dyDescent="0.3">
      <c r="A13" s="5" t="s">
        <v>26</v>
      </c>
      <c r="B13" s="6" t="s">
        <v>27</v>
      </c>
      <c r="C13" s="5" t="s">
        <v>17</v>
      </c>
      <c r="D13" s="5" t="s">
        <v>28</v>
      </c>
      <c r="E13" s="5">
        <v>85</v>
      </c>
      <c r="F13" s="7">
        <v>78.5</v>
      </c>
      <c r="G13" s="7">
        <f t="shared" si="0"/>
        <v>6672.5</v>
      </c>
      <c r="M13" s="21"/>
      <c r="N13" t="s">
        <v>37</v>
      </c>
      <c r="O13">
        <f>SUMIFS(TOTTO,C4:C18,"Support",D4:D18,"April")</f>
        <v>5400</v>
      </c>
    </row>
    <row r="14" spans="1:19" ht="22.05" customHeight="1" x14ac:dyDescent="0.3">
      <c r="A14" s="5" t="s">
        <v>35</v>
      </c>
      <c r="B14" s="6" t="s">
        <v>36</v>
      </c>
      <c r="C14" s="5" t="s">
        <v>17</v>
      </c>
      <c r="D14" s="5" t="s">
        <v>37</v>
      </c>
      <c r="E14" s="5">
        <v>70</v>
      </c>
      <c r="F14" s="7">
        <v>78.5</v>
      </c>
      <c r="G14" s="7">
        <f t="shared" si="0"/>
        <v>5495</v>
      </c>
    </row>
    <row r="15" spans="1:19" ht="22.05" customHeight="1" x14ac:dyDescent="0.3">
      <c r="A15" s="5" t="s">
        <v>15</v>
      </c>
      <c r="B15" s="6" t="s">
        <v>16</v>
      </c>
      <c r="C15" s="5" t="s">
        <v>17</v>
      </c>
      <c r="D15" s="5" t="s">
        <v>12</v>
      </c>
      <c r="E15" s="5">
        <v>60</v>
      </c>
      <c r="F15" s="7">
        <v>78.5</v>
      </c>
      <c r="G15" s="7">
        <f t="shared" si="0"/>
        <v>4710</v>
      </c>
    </row>
    <row r="16" spans="1:19" ht="22.05" customHeight="1" x14ac:dyDescent="0.3">
      <c r="A16" s="8" t="s">
        <v>31</v>
      </c>
      <c r="B16" s="9" t="s">
        <v>32</v>
      </c>
      <c r="C16" s="8" t="s">
        <v>23</v>
      </c>
      <c r="D16" s="8" t="s">
        <v>28</v>
      </c>
      <c r="E16" s="8">
        <v>50</v>
      </c>
      <c r="F16" s="10">
        <v>120</v>
      </c>
      <c r="G16" s="10">
        <f t="shared" si="0"/>
        <v>6000</v>
      </c>
    </row>
    <row r="17" spans="1:17" ht="22.05" customHeight="1" x14ac:dyDescent="0.3">
      <c r="A17" s="8" t="s">
        <v>40</v>
      </c>
      <c r="B17" s="9" t="s">
        <v>41</v>
      </c>
      <c r="C17" s="8" t="s">
        <v>23</v>
      </c>
      <c r="D17" s="8" t="s">
        <v>37</v>
      </c>
      <c r="E17" s="8">
        <v>45</v>
      </c>
      <c r="F17" s="10">
        <v>120</v>
      </c>
      <c r="G17" s="10">
        <f t="shared" si="0"/>
        <v>5400</v>
      </c>
    </row>
    <row r="18" spans="1:17" ht="22.05" customHeight="1" x14ac:dyDescent="0.3">
      <c r="A18" s="8" t="s">
        <v>21</v>
      </c>
      <c r="B18" s="9" t="s">
        <v>22</v>
      </c>
      <c r="C18" s="8" t="s">
        <v>23</v>
      </c>
      <c r="D18" s="8" t="s">
        <v>20</v>
      </c>
      <c r="E18" s="8">
        <v>30</v>
      </c>
      <c r="F18" s="10">
        <v>120</v>
      </c>
      <c r="G18" s="10">
        <f t="shared" si="0"/>
        <v>3600</v>
      </c>
    </row>
    <row r="19" spans="1:17" ht="12" customHeight="1" x14ac:dyDescent="0.3"/>
    <row r="20" spans="1:17" ht="22.05" customHeight="1" x14ac:dyDescent="0.3">
      <c r="A20" s="16" t="s">
        <v>46</v>
      </c>
      <c r="B20" s="17"/>
      <c r="C20" s="17"/>
      <c r="D20" s="17"/>
      <c r="E20" s="17"/>
      <c r="F20" s="17"/>
      <c r="G20" s="17"/>
    </row>
    <row r="21" spans="1:17" ht="51" customHeight="1" x14ac:dyDescent="0.3">
      <c r="E21" s="14">
        <f>AVERAGE(E4:E18)</f>
        <v>93.666666666666671</v>
      </c>
      <c r="F21" s="11">
        <f>AVERAGE(F4:F18)</f>
        <v>68.933333333333337</v>
      </c>
      <c r="G21" s="11">
        <f>AVERAGE(TOTTO)</f>
        <v>5521.166666666667</v>
      </c>
    </row>
    <row r="22" spans="1:17" x14ac:dyDescent="0.3">
      <c r="B22" s="1" t="s">
        <v>3</v>
      </c>
      <c r="C22" t="s">
        <v>8</v>
      </c>
      <c r="O22" s="15" t="s">
        <v>11</v>
      </c>
      <c r="P22" t="s">
        <v>12</v>
      </c>
      <c r="Q22">
        <f>SUMIFS(TOTTO,D4:D18,"January",C4:C18,"Sales")</f>
        <v>9675</v>
      </c>
    </row>
    <row r="23" spans="1:17" x14ac:dyDescent="0.3">
      <c r="B23" s="3" t="s">
        <v>30</v>
      </c>
      <c r="C23" s="13">
        <v>7200</v>
      </c>
      <c r="O23" s="15"/>
      <c r="P23" t="s">
        <v>20</v>
      </c>
      <c r="Q23">
        <f>SUMIFS(G4:G18,C4:C18,"Sales",D4:D18,"February")</f>
        <v>11250</v>
      </c>
    </row>
    <row r="24" spans="1:17" x14ac:dyDescent="0.3">
      <c r="B24" s="3" t="s">
        <v>19</v>
      </c>
      <c r="C24" s="13">
        <v>6300</v>
      </c>
      <c r="O24" s="15"/>
      <c r="P24" t="s">
        <v>28</v>
      </c>
      <c r="Q24">
        <f>SUMIFS(G4:G17,C4:C17,"Sales",D4:D17,"March")</f>
        <v>13050</v>
      </c>
    </row>
    <row r="25" spans="1:17" x14ac:dyDescent="0.3">
      <c r="B25" s="3" t="s">
        <v>34</v>
      </c>
      <c r="C25" s="13">
        <v>5850</v>
      </c>
      <c r="O25" s="15"/>
      <c r="P25" t="s">
        <v>37</v>
      </c>
      <c r="Q25">
        <f>SUMIFS(G4:G17,C4:C17,"Sales",D4:D17,"April")</f>
        <v>9900</v>
      </c>
    </row>
    <row r="26" spans="1:17" ht="27" customHeight="1" x14ac:dyDescent="0.3">
      <c r="B26" s="3" t="s">
        <v>10</v>
      </c>
      <c r="C26" s="13">
        <v>5400</v>
      </c>
    </row>
    <row r="27" spans="1:17" x14ac:dyDescent="0.3">
      <c r="B27" s="3" t="s">
        <v>43</v>
      </c>
      <c r="C27" s="13">
        <v>5175</v>
      </c>
    </row>
    <row r="28" spans="1:17" x14ac:dyDescent="0.3">
      <c r="B28" s="3" t="s">
        <v>25</v>
      </c>
      <c r="C28" s="13">
        <v>4950</v>
      </c>
    </row>
    <row r="29" spans="1:17" x14ac:dyDescent="0.3">
      <c r="B29" s="3" t="s">
        <v>39</v>
      </c>
      <c r="C29" s="13">
        <v>4725</v>
      </c>
    </row>
    <row r="30" spans="1:17" x14ac:dyDescent="0.3">
      <c r="B30" s="3" t="s">
        <v>14</v>
      </c>
      <c r="C30" s="13">
        <v>4275</v>
      </c>
    </row>
    <row r="31" spans="1:17" x14ac:dyDescent="0.3">
      <c r="B31" s="6" t="s">
        <v>45</v>
      </c>
      <c r="C31" s="13">
        <v>7065</v>
      </c>
    </row>
    <row r="32" spans="1:17" x14ac:dyDescent="0.3">
      <c r="B32" s="6" t="s">
        <v>27</v>
      </c>
      <c r="C32" s="13">
        <v>6672.5</v>
      </c>
    </row>
    <row r="33" spans="2:3" x14ac:dyDescent="0.3">
      <c r="B33" s="6" t="s">
        <v>36</v>
      </c>
      <c r="C33" s="13">
        <v>5495</v>
      </c>
    </row>
    <row r="34" spans="2:3" x14ac:dyDescent="0.3">
      <c r="B34" s="6" t="s">
        <v>16</v>
      </c>
      <c r="C34" s="13">
        <v>4710</v>
      </c>
    </row>
    <row r="35" spans="2:3" x14ac:dyDescent="0.3">
      <c r="B35" s="9" t="s">
        <v>32</v>
      </c>
      <c r="C35" s="13">
        <v>6000</v>
      </c>
    </row>
    <row r="36" spans="2:3" x14ac:dyDescent="0.3">
      <c r="B36" s="9" t="s">
        <v>41</v>
      </c>
      <c r="C36" s="13">
        <v>5400</v>
      </c>
    </row>
    <row r="37" spans="2:3" x14ac:dyDescent="0.3">
      <c r="B37" s="9" t="s">
        <v>22</v>
      </c>
      <c r="C37" s="13">
        <v>3600</v>
      </c>
    </row>
  </sheetData>
  <autoFilter ref="A3:G18" xr:uid="{00000000-0001-0000-0000-000000000000}"/>
  <sortState xmlns:xlrd2="http://schemas.microsoft.com/office/spreadsheetml/2017/richdata2" ref="A4:G18">
    <sortCondition descending="1" ref="G4:G18"/>
  </sortState>
  <mergeCells count="6">
    <mergeCell ref="O22:O25"/>
    <mergeCell ref="A20:G20"/>
    <mergeCell ref="A2:G2"/>
    <mergeCell ref="A1:G1"/>
    <mergeCell ref="M5:M7"/>
    <mergeCell ref="M11:M13"/>
  </mergeCells>
  <phoneticPr fontId="5" type="noConversion"/>
  <conditionalFormatting sqref="G4:G18">
    <cfRule type="cellIs" dxfId="2" priority="1" operator="lessThan">
      <formula>$G$21</formula>
    </cfRule>
    <cfRule type="cellIs" dxfId="1" priority="2" operator="greaterThan">
      <formula>$G$21</formula>
    </cfRule>
  </conditionalFormatting>
  <conditionalFormatting sqref="O12">
    <cfRule type="cellIs" dxfId="0" priority="3" operator="greaterThan">
      <formula>$G$21</formula>
    </cfRule>
  </conditionalFormatting>
  <pageMargins left="0.75" right="0.75" top="1" bottom="1" header="0.5" footer="0.5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A7ADCE2-A069-45A0-A6C3-4B0F708E55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'Employee Sales'!Q22:Q25</xm:f>
              <xm:sqref>Q26</xm:sqref>
            </x14:sparkline>
          </x14:sparklines>
        </x14:sparklineGroup>
        <x14:sparklineGroup displayEmptyCellsAs="gap" xr2:uid="{BA66779E-0EA6-454E-B0F2-E2CF3284A4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'Employee Sales'!O11:O13</xm:f>
              <xm:sqref>O14</xm:sqref>
            </x14:sparkline>
          </x14:sparklines>
        </x14:sparklineGroup>
        <x14:sparklineGroup displayEmptyCellsAs="gap" xr2:uid="{425E6965-7830-4A5A-88DD-676DDE2D5D1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'Employee Sales'!O5:O7</xm:f>
              <xm:sqref>O8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Employee Sales</vt:lpstr>
      <vt:lpstr>TOTTO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Thaddee Nwaha</cp:lastModifiedBy>
  <dcterms:created xsi:type="dcterms:W3CDTF">2026-06-21T00:25:51Z</dcterms:created>
  <dcterms:modified xsi:type="dcterms:W3CDTF">2026-07-14T23:09:25Z</dcterms:modified>
</cp:coreProperties>
</file>